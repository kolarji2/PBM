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1" sheetId="1" state="visible" r:id="rId2"/>
    <sheet name="data2" sheetId="2" state="visible" r:id="rId3"/>
    <sheet name="data3" sheetId="3" state="visible" r:id="rId4"/>
    <sheet name="data4" sheetId="4" state="visible" r:id="rId5"/>
    <sheet name="data5" sheetId="5" state="visible" r:id="rId6"/>
    <sheet name="data6" sheetId="6" state="visible" r:id="rId7"/>
    <sheet name="viscosity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<sst xmlns="http://schemas.openxmlformats.org/spreadsheetml/2006/main" count="93" uniqueCount="20">
  <si>
    <t xml:space="preserve">t [min]</t>
  </si>
  <si>
    <t xml:space="preserve">cA[g/l]</t>
  </si>
  <si>
    <t xml:space="preserve">cT0</t>
  </si>
  <si>
    <t xml:space="preserve">cB0</t>
  </si>
  <si>
    <t xml:space="preserve">T</t>
  </si>
  <si>
    <t xml:space="preserve">tpH [min]</t>
  </si>
  <si>
    <t xml:space="preserve">pH</t>
  </si>
  <si>
    <t xml:space="preserve">t</t>
  </si>
  <si>
    <t xml:space="preserve">c1</t>
  </si>
  <si>
    <t xml:space="preserve">c2</t>
  </si>
  <si>
    <t xml:space="preserve">c3</t>
  </si>
  <si>
    <t xml:space="preserve">cavg</t>
  </si>
  <si>
    <t xml:space="preserve">cstd</t>
  </si>
  <si>
    <t xml:space="preserve">Info</t>
  </si>
  <si>
    <t xml:space="preserve">stirrer 2paddles, 600rpm</t>
  </si>
  <si>
    <t xml:space="preserve">stirrer 2paddles, 655rpm</t>
  </si>
  <si>
    <t xml:space="preserve">stirrer 4paddles, 650rpm</t>
  </si>
  <si>
    <t xml:space="preserve">c [g/l]</t>
  </si>
  <si>
    <t xml:space="preserve">T [C]</t>
  </si>
  <si>
    <t xml:space="preserve">etaf [Pas]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</si>
</sst>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859375" defaultRowHeight="12.75" zeroHeight="false" outlineLevelRow="0" outlineLevelCol="0"/>
  <cols>
    <col collapsed="false" customWidth="true" hidden="false" outlineLevel="0" max="4" min="4" style="0" width="4.76"/>
    <col collapsed="false" customWidth="true" hidden="false" outlineLevel="0" max="5" min="5" style="0" width="3.51"/>
    <col collapsed="false" customWidth="true" hidden="false" outlineLevel="0" max="6" min="6" style="0" width="8.94"/>
    <col collapsed="false" customWidth="true" hidden="false" outlineLevel="0" max="7" min="7" style="0" width="3.79"/>
    <col collapsed="false" customWidth="true" hidden="false" outlineLevel="0" max="8" min="8" style="0" width="2.64"/>
    <col collapsed="false" customWidth="true" hidden="false" outlineLevel="0" max="9" min="9" style="0" width="3.61"/>
    <col collapsed="false" customWidth="true" hidden="false" outlineLevel="0" max="10" min="10" style="0" width="3.33"/>
    <col collapsed="false" customWidth="true" hidden="false" outlineLevel="0" max="11" min="11" style="0" width="2.92"/>
    <col collapsed="false" customWidth="true" hidden="false" outlineLevel="0" max="13" min="12" style="0" width="3.18"/>
    <col collapsed="false" customWidth="true" hidden="false" outlineLevel="0" max="14" min="14" style="0" width="3.4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/>
      <c r="Q1" s="2"/>
    </row>
    <row r="2" customFormat="false" ht="12.8" hidden="false" customHeight="false" outlineLevel="0" collapsed="false">
      <c r="A2" s="1" t="n">
        <v>0</v>
      </c>
      <c r="B2" s="3" t="n">
        <v>0</v>
      </c>
      <c r="C2" s="1" t="n">
        <v>30</v>
      </c>
      <c r="D2" s="1" t="n">
        <v>24</v>
      </c>
      <c r="E2" s="1" t="n">
        <v>55</v>
      </c>
      <c r="O2" s="2" t="s">
        <v>14</v>
      </c>
      <c r="P2" s="2"/>
      <c r="Q2" s="2"/>
    </row>
    <row r="3" customFormat="false" ht="12.75" hidden="false" customHeight="false" outlineLevel="0" collapsed="false">
      <c r="A3" s="1" t="n">
        <v>1</v>
      </c>
      <c r="B3" s="3" t="n">
        <v>26.9628336038461</v>
      </c>
    </row>
    <row r="4" customFormat="false" ht="12.75" hidden="false" customHeight="false" outlineLevel="0" collapsed="false">
      <c r="A4" s="1" t="n">
        <v>2</v>
      </c>
      <c r="B4" s="3" t="n">
        <v>28.798512522343</v>
      </c>
    </row>
    <row r="5" customFormat="false" ht="12.75" hidden="false" customHeight="false" outlineLevel="0" collapsed="false">
      <c r="A5" s="1" t="n">
        <v>3</v>
      </c>
      <c r="B5" s="3" t="n">
        <v>29.1807367534362</v>
      </c>
    </row>
    <row r="6" customFormat="false" ht="12.75" hidden="false" customHeight="false" outlineLevel="0" collapsed="false">
      <c r="A6" s="1" t="n">
        <v>4</v>
      </c>
      <c r="B6" s="3" t="n">
        <v>29.1958169827214</v>
      </c>
    </row>
    <row r="7" customFormat="false" ht="12.75" hidden="false" customHeight="false" outlineLevel="0" collapsed="false">
      <c r="A7" s="1" t="n">
        <v>5</v>
      </c>
      <c r="B7" s="3" t="n">
        <v>29.4518521562262</v>
      </c>
    </row>
    <row r="8" customFormat="false" ht="12.75" hidden="false" customHeight="false" outlineLevel="0" collapsed="false">
      <c r="A8" s="1" t="n">
        <v>6</v>
      </c>
      <c r="B8" s="3" t="n">
        <v>29.3981468165102</v>
      </c>
    </row>
    <row r="9" customFormat="false" ht="12.75" hidden="false" customHeight="false" outlineLevel="0" collapsed="false">
      <c r="A9" s="1" t="n">
        <v>7</v>
      </c>
      <c r="B9" s="3" t="n">
        <v>29.2163622542272</v>
      </c>
    </row>
    <row r="10" customFormat="false" ht="12.75" hidden="false" customHeight="false" outlineLevel="0" collapsed="false">
      <c r="A10" s="1" t="n">
        <v>8</v>
      </c>
      <c r="B10" s="3" t="n">
        <v>29.5745896082017</v>
      </c>
    </row>
    <row r="11" customFormat="false" ht="12.75" hidden="false" customHeight="false" outlineLevel="0" collapsed="false">
      <c r="A11" s="1" t="n">
        <v>10</v>
      </c>
      <c r="B11" s="3" t="n">
        <v>29.2516179401311</v>
      </c>
    </row>
    <row r="12" customFormat="false" ht="12.75" hidden="false" customHeight="false" outlineLevel="0" collapsed="false">
      <c r="A12" s="1" t="n">
        <v>12</v>
      </c>
      <c r="B12" s="3" t="n">
        <v>29.1186900334888</v>
      </c>
    </row>
    <row r="13" customFormat="false" ht="12.75" hidden="false" customHeight="false" outlineLevel="0" collapsed="false">
      <c r="A13" s="1" t="n">
        <v>18</v>
      </c>
      <c r="B13" s="3" t="n">
        <v>29.7812339490066</v>
      </c>
    </row>
    <row r="14" customFormat="false" ht="12.75" hidden="false" customHeight="false" outlineLevel="0" collapsed="false">
      <c r="A14" s="1" t="n">
        <v>22</v>
      </c>
      <c r="B14" s="3" t="n">
        <v>29.4855874920387</v>
      </c>
    </row>
    <row r="15" customFormat="false" ht="12.75" hidden="false" customHeight="false" outlineLevel="0" collapsed="false">
      <c r="A15" s="1" t="n">
        <v>26</v>
      </c>
      <c r="B15" s="3" t="n">
        <v>29.1250590676556</v>
      </c>
    </row>
    <row r="16" customFormat="false" ht="12.75" hidden="false" customHeight="false" outlineLevel="0" collapsed="false">
      <c r="A16" s="1" t="n">
        <v>30</v>
      </c>
      <c r="B16" s="3" t="n">
        <v>29.729172231011</v>
      </c>
    </row>
    <row r="17" customFormat="false" ht="12.75" hidden="false" customHeight="false" outlineLevel="0" collapsed="false">
      <c r="A17" s="1" t="n">
        <v>60</v>
      </c>
      <c r="B17" s="3" t="n">
        <v>29.4639738664146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859375" defaultRowHeight="12.75" zeroHeight="false" outlineLevelRow="0" outlineLevelCol="0"/>
  <cols>
    <col collapsed="false" customWidth="true" hidden="false" outlineLevel="0" max="3" min="3" style="0" width="4.63"/>
    <col collapsed="false" customWidth="true" hidden="false" outlineLevel="0" max="4" min="4" style="0" width="5.04"/>
    <col collapsed="false" customWidth="true" hidden="false" outlineLevel="0" max="6" min="6" style="0" width="6.71"/>
    <col collapsed="false" customWidth="true" hidden="false" outlineLevel="0" max="7" min="7" style="0" width="3.79"/>
    <col collapsed="false" customWidth="true" hidden="false" outlineLevel="0" max="14" min="8" style="0" width="2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/>
      <c r="Q1" s="2"/>
    </row>
    <row r="2" customFormat="false" ht="12.8" hidden="false" customHeight="false" outlineLevel="0" collapsed="false">
      <c r="A2" s="1" t="n">
        <v>0</v>
      </c>
      <c r="B2" s="3" t="n">
        <v>0</v>
      </c>
      <c r="C2" s="1" t="n">
        <v>0.3</v>
      </c>
      <c r="D2" s="1" t="n">
        <v>0.36</v>
      </c>
      <c r="E2" s="1" t="n">
        <v>55</v>
      </c>
      <c r="O2" s="2" t="s">
        <v>14</v>
      </c>
      <c r="P2" s="2"/>
      <c r="Q2" s="2"/>
    </row>
    <row r="3" customFormat="false" ht="12.75" hidden="false" customHeight="false" outlineLevel="0" collapsed="false">
      <c r="A3" s="1" t="n">
        <v>0.17</v>
      </c>
      <c r="B3" s="3" t="n">
        <v>0.0226681116840959</v>
      </c>
    </row>
    <row r="4" customFormat="false" ht="12.75" hidden="false" customHeight="false" outlineLevel="0" collapsed="false">
      <c r="A4" s="1" t="n">
        <v>0.33</v>
      </c>
      <c r="B4" s="3" t="n">
        <v>0.0429567727487519</v>
      </c>
    </row>
    <row r="5" customFormat="false" ht="12.75" hidden="false" customHeight="false" outlineLevel="0" collapsed="false">
      <c r="A5" s="1" t="n">
        <v>0.5</v>
      </c>
      <c r="B5" s="3" t="n">
        <v>0.0741152178826043</v>
      </c>
    </row>
    <row r="6" customFormat="false" ht="12.75" hidden="false" customHeight="false" outlineLevel="0" collapsed="false">
      <c r="A6" s="1" t="n">
        <v>0.67</v>
      </c>
      <c r="B6" s="3" t="n">
        <v>0.0849011772440573</v>
      </c>
    </row>
    <row r="7" customFormat="false" ht="12.75" hidden="false" customHeight="false" outlineLevel="0" collapsed="false">
      <c r="A7" s="1" t="n">
        <v>0.83</v>
      </c>
      <c r="B7" s="3" t="n">
        <v>0.103570973640417</v>
      </c>
    </row>
    <row r="8" customFormat="false" ht="12.75" hidden="false" customHeight="false" outlineLevel="0" collapsed="false">
      <c r="A8" s="1" t="n">
        <v>1</v>
      </c>
      <c r="B8" s="3" t="n">
        <v>0.115095330059787</v>
      </c>
    </row>
    <row r="9" customFormat="false" ht="12.75" hidden="false" customHeight="false" outlineLevel="0" collapsed="false">
      <c r="A9" s="1" t="n">
        <v>1.17</v>
      </c>
      <c r="B9" s="3" t="n">
        <v>0.135168882131777</v>
      </c>
    </row>
    <row r="10" customFormat="false" ht="12.75" hidden="false" customHeight="false" outlineLevel="0" collapsed="false">
      <c r="A10" s="1" t="n">
        <v>1.33</v>
      </c>
      <c r="B10" s="3" t="n">
        <v>0.149381484601319</v>
      </c>
    </row>
    <row r="11" customFormat="false" ht="12.75" hidden="false" customHeight="false" outlineLevel="0" collapsed="false">
      <c r="A11" s="1" t="n">
        <v>1.5</v>
      </c>
      <c r="B11" s="3" t="n">
        <v>0.173553510159637</v>
      </c>
    </row>
    <row r="12" customFormat="false" ht="12.75" hidden="false" customHeight="false" outlineLevel="0" collapsed="false">
      <c r="A12" s="1" t="n">
        <v>1.67</v>
      </c>
      <c r="B12" s="3" t="n">
        <v>0.210086290140324</v>
      </c>
    </row>
    <row r="13" customFormat="false" ht="12.75" hidden="false" customHeight="false" outlineLevel="0" collapsed="false">
      <c r="A13" s="1" t="n">
        <v>1.83</v>
      </c>
      <c r="B13" s="3" t="n">
        <v>0.209642204096727</v>
      </c>
    </row>
    <row r="14" customFormat="false" ht="12.75" hidden="false" customHeight="false" outlineLevel="0" collapsed="false">
      <c r="A14" s="1" t="n">
        <v>2</v>
      </c>
      <c r="B14" s="3" t="n">
        <v>0.242184989624638</v>
      </c>
    </row>
    <row r="15" customFormat="false" ht="12.75" hidden="false" customHeight="false" outlineLevel="0" collapsed="false">
      <c r="A15" s="1" t="n">
        <v>2.5</v>
      </c>
      <c r="B15" s="3" t="n">
        <v>0.253621823187393</v>
      </c>
    </row>
    <row r="16" customFormat="false" ht="12.75" hidden="false" customHeight="false" outlineLevel="0" collapsed="false">
      <c r="A16" s="1" t="n">
        <v>3</v>
      </c>
      <c r="B16" s="3" t="n">
        <v>0.265411829967333</v>
      </c>
    </row>
    <row r="17" customFormat="false" ht="12.75" hidden="false" customHeight="false" outlineLevel="0" collapsed="false">
      <c r="A17" s="1" t="n">
        <v>4</v>
      </c>
      <c r="B17" s="3" t="n">
        <v>0.277573500708812</v>
      </c>
    </row>
    <row r="18" customFormat="false" ht="12.75" hidden="false" customHeight="false" outlineLevel="0" collapsed="false">
      <c r="A18" s="1" t="n">
        <v>6</v>
      </c>
      <c r="B18" s="3" t="n">
        <v>0.290104678158322</v>
      </c>
    </row>
    <row r="19" customFormat="false" ht="12.75" hidden="false" customHeight="false" outlineLevel="0" collapsed="false">
      <c r="A19" s="1" t="n">
        <v>10</v>
      </c>
      <c r="B19" s="3" t="n">
        <v>0.295620467199474</v>
      </c>
    </row>
    <row r="20" customFormat="false" ht="12.75" hidden="false" customHeight="false" outlineLevel="0" collapsed="false">
      <c r="A20" s="1" t="n">
        <v>60</v>
      </c>
      <c r="B20" s="3" t="n">
        <v>0.302729542045898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9" activeCellId="0" sqref="R19"/>
    </sheetView>
  </sheetViews>
  <sheetFormatPr defaultColWidth="11.859375" defaultRowHeight="12.75" zeroHeight="false" outlineLevelRow="0" outlineLevelCol="0"/>
  <cols>
    <col collapsed="false" customWidth="true" hidden="false" outlineLevel="0" max="3" min="3" style="0" width="4.63"/>
    <col collapsed="false" customWidth="true" hidden="false" outlineLevel="0" max="4" min="4" style="0" width="5.04"/>
    <col collapsed="false" customWidth="true" hidden="false" outlineLevel="0" max="5" min="5" style="0" width="3.51"/>
    <col collapsed="false" customWidth="true" hidden="false" outlineLevel="0" max="6" min="6" style="0" width="6.71"/>
    <col collapsed="false" customWidth="true" hidden="false" outlineLevel="0" max="7" min="7" style="0" width="6.01"/>
    <col collapsed="false" customWidth="true" hidden="false" outlineLevel="0" max="8" min="8" style="0" width="3.51"/>
    <col collapsed="false" customWidth="true" hidden="false" outlineLevel="0" max="13" min="9" style="0" width="6.11"/>
    <col collapsed="false" customWidth="true" hidden="false" outlineLevel="0" max="14" min="14" style="0" width="3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/>
      <c r="Q1" s="2"/>
    </row>
    <row r="2" customFormat="false" ht="12.8" hidden="false" customHeight="false" outlineLevel="0" collapsed="false">
      <c r="A2" s="1" t="n">
        <v>0</v>
      </c>
      <c r="B2" s="3" t="n">
        <v>0</v>
      </c>
      <c r="C2" s="1" t="n">
        <v>0.3</v>
      </c>
      <c r="D2" s="1" t="n">
        <v>0.24</v>
      </c>
      <c r="E2" s="1" t="n">
        <v>55</v>
      </c>
      <c r="F2" s="4" t="n">
        <v>0</v>
      </c>
      <c r="G2" s="4" t="n">
        <f aca="false">10.77</f>
        <v>10.77</v>
      </c>
      <c r="H2" s="4" t="n">
        <v>0</v>
      </c>
      <c r="I2" s="1" t="n">
        <v>0</v>
      </c>
      <c r="J2" s="1" t="n">
        <v>0</v>
      </c>
      <c r="K2" s="1" t="n">
        <v>0</v>
      </c>
      <c r="L2" s="1" t="n">
        <f aca="false">AVERAGE(I2:K2)</f>
        <v>0</v>
      </c>
      <c r="M2" s="1" t="n">
        <f aca="false">STDEV(I2:K2)</f>
        <v>0</v>
      </c>
      <c r="O2" s="2" t="s">
        <v>14</v>
      </c>
      <c r="P2" s="2"/>
      <c r="Q2" s="2"/>
    </row>
    <row r="3" customFormat="false" ht="12.8" hidden="false" customHeight="false" outlineLevel="0" collapsed="false">
      <c r="A3" s="1" t="n">
        <v>1</v>
      </c>
      <c r="B3" s="3" t="n">
        <v>0.0968944794855465</v>
      </c>
      <c r="F3" s="5" t="n">
        <v>1</v>
      </c>
      <c r="G3" s="5" t="n">
        <v>10.47</v>
      </c>
      <c r="H3" s="5" t="n">
        <v>1</v>
      </c>
      <c r="I3" s="1" t="n">
        <v>0.124319437881372</v>
      </c>
      <c r="J3" s="1" t="n">
        <v>0.0859428225093995</v>
      </c>
      <c r="K3" s="1" t="n">
        <v>0.0804211780658681</v>
      </c>
      <c r="L3" s="1" t="n">
        <f aca="false">AVERAGE(I3:K3)</f>
        <v>0.0968944794855465</v>
      </c>
      <c r="M3" s="1" t="n">
        <f aca="false">STDEV(I3:K3)</f>
        <v>0.0239106335465994</v>
      </c>
    </row>
    <row r="4" customFormat="false" ht="12.8" hidden="false" customHeight="false" outlineLevel="0" collapsed="false">
      <c r="A4" s="1" t="n">
        <v>2</v>
      </c>
      <c r="B4" s="3" t="n">
        <v>0.199408604359707</v>
      </c>
      <c r="F4" s="5" t="n">
        <v>2</v>
      </c>
      <c r="G4" s="5" t="n">
        <v>10.22</v>
      </c>
      <c r="H4" s="5" t="n">
        <v>2</v>
      </c>
      <c r="I4" s="1" t="n">
        <v>0.232182113286627</v>
      </c>
      <c r="J4" s="1" t="n">
        <v>0.17131027469028</v>
      </c>
      <c r="K4" s="1" t="n">
        <v>0.194733425102213</v>
      </c>
      <c r="L4" s="1" t="n">
        <f aca="false">AVERAGE(I4:K4)</f>
        <v>0.199408604359707</v>
      </c>
      <c r="M4" s="1" t="n">
        <f aca="false">STDEV(I4:K4)</f>
        <v>0.0307040414170872</v>
      </c>
    </row>
    <row r="5" customFormat="false" ht="12.8" hidden="false" customHeight="false" outlineLevel="0" collapsed="false">
      <c r="A5" s="1" t="n">
        <v>3</v>
      </c>
      <c r="B5" s="3" t="n">
        <v>0.243610831467138</v>
      </c>
      <c r="F5" s="5" t="n">
        <v>3</v>
      </c>
      <c r="G5" s="5" t="n">
        <v>10.25</v>
      </c>
      <c r="H5" s="5" t="n">
        <v>3</v>
      </c>
      <c r="I5" s="1" t="n">
        <v>0.261767304254926</v>
      </c>
      <c r="J5" s="1" t="n">
        <v>0.211959094364432</v>
      </c>
      <c r="K5" s="1" t="n">
        <v>0.257106095782056</v>
      </c>
      <c r="L5" s="1" t="n">
        <f aca="false">AVERAGE(I5:K5)</f>
        <v>0.243610831467138</v>
      </c>
      <c r="M5" s="1" t="n">
        <f aca="false">STDEV(I5:K5)</f>
        <v>0.027510108366217</v>
      </c>
    </row>
    <row r="6" customFormat="false" ht="12.8" hidden="false" customHeight="false" outlineLevel="0" collapsed="false">
      <c r="A6" s="1" t="n">
        <v>4</v>
      </c>
      <c r="B6" s="3" t="n">
        <v>0.263635896698375</v>
      </c>
      <c r="F6" s="5" t="n">
        <v>4</v>
      </c>
      <c r="G6" s="5" t="n">
        <v>10.25</v>
      </c>
      <c r="H6" s="5" t="n">
        <v>4</v>
      </c>
      <c r="I6" s="1" t="n">
        <v>0.276559899739075</v>
      </c>
      <c r="J6" s="1" t="n">
        <v>0.232429272902841</v>
      </c>
      <c r="K6" s="1" t="n">
        <v>0.281918517453208</v>
      </c>
      <c r="L6" s="1" t="n">
        <f aca="false">AVERAGE(I6:K6)</f>
        <v>0.263635896698375</v>
      </c>
      <c r="M6" s="1" t="n">
        <f aca="false">STDEV(I6:K6)</f>
        <v>0.0271582164820986</v>
      </c>
    </row>
    <row r="7" customFormat="false" ht="12.8" hidden="false" customHeight="false" outlineLevel="0" collapsed="false">
      <c r="A7" s="1" t="n">
        <v>5</v>
      </c>
      <c r="B7" s="3" t="n">
        <v>0.272542477348838</v>
      </c>
      <c r="F7" s="5" t="n">
        <v>5</v>
      </c>
      <c r="G7" s="5" t="n">
        <v>10.28</v>
      </c>
      <c r="H7" s="5" t="n">
        <v>5</v>
      </c>
      <c r="I7" s="1" t="n">
        <v>0.288578883569946</v>
      </c>
      <c r="J7" s="1" t="n">
        <v>0.25079273930105</v>
      </c>
      <c r="K7" s="1" t="n">
        <v>0.278255809175518</v>
      </c>
      <c r="L7" s="1" t="n">
        <f aca="false">AVERAGE(I7:K7)</f>
        <v>0.272542477348838</v>
      </c>
      <c r="M7" s="1" t="n">
        <f aca="false">STDEV(I7:K7)</f>
        <v>0.0195302277277755</v>
      </c>
    </row>
    <row r="8" customFormat="false" ht="12.8" hidden="false" customHeight="false" outlineLevel="0" collapsed="false">
      <c r="A8" s="1" t="n">
        <v>6</v>
      </c>
      <c r="B8" s="3" t="n">
        <v>0.273980440901527</v>
      </c>
      <c r="F8" s="5" t="n">
        <v>6</v>
      </c>
      <c r="G8" s="5" t="n">
        <v>10.27</v>
      </c>
      <c r="H8" s="5" t="n">
        <v>6</v>
      </c>
      <c r="I8" s="1" t="n">
        <v>0.285497092844082</v>
      </c>
      <c r="J8" s="1" t="n">
        <v>0.252893287859799</v>
      </c>
      <c r="K8" s="1" t="n">
        <v>0.283550942000699</v>
      </c>
      <c r="L8" s="1" t="n">
        <f aca="false">AVERAGE(I8:K8)</f>
        <v>0.273980440901527</v>
      </c>
      <c r="M8" s="1" t="n">
        <f aca="false">STDEV(I8:K8)</f>
        <v>0.0182879165934842</v>
      </c>
    </row>
    <row r="9" customFormat="false" ht="12.8" hidden="false" customHeight="false" outlineLevel="0" collapsed="false">
      <c r="A9" s="1" t="n">
        <v>7</v>
      </c>
      <c r="B9" s="3" t="n">
        <v>0.280352145953609</v>
      </c>
      <c r="F9" s="5" t="n">
        <v>7</v>
      </c>
      <c r="G9" s="5" t="n">
        <v>10.25</v>
      </c>
      <c r="H9" s="5" t="n">
        <v>7</v>
      </c>
      <c r="I9" s="1" t="n">
        <v>0.290736137078051</v>
      </c>
      <c r="J9" s="1" t="n">
        <v>0.259733630554928</v>
      </c>
      <c r="K9" s="1" t="n">
        <v>0.290586670227847</v>
      </c>
      <c r="L9" s="1" t="n">
        <f aca="false">AVERAGE(I9:K9)</f>
        <v>0.280352145953609</v>
      </c>
      <c r="M9" s="1" t="n">
        <f aca="false">STDEV(I9:K9)</f>
        <v>0.0178563145138926</v>
      </c>
    </row>
    <row r="10" customFormat="false" ht="12.8" hidden="false" customHeight="false" outlineLevel="0" collapsed="false">
      <c r="A10" s="1" t="n">
        <v>8</v>
      </c>
      <c r="B10" s="3" t="n">
        <v>0.28748875146385</v>
      </c>
      <c r="F10" s="5" t="n">
        <v>8</v>
      </c>
      <c r="G10" s="5" t="n">
        <v>10.29</v>
      </c>
      <c r="H10" s="5" t="n">
        <v>8</v>
      </c>
      <c r="I10" s="1" t="n">
        <v>0.294742465021675</v>
      </c>
      <c r="J10" s="1" t="n">
        <v>0.276666221519117</v>
      </c>
      <c r="K10" s="1" t="n">
        <v>0.291057567850759</v>
      </c>
      <c r="L10" s="1" t="n">
        <f aca="false">AVERAGE(I10:K10)</f>
        <v>0.28748875146385</v>
      </c>
      <c r="M10" s="1" t="n">
        <f aca="false">STDEV(I10:K10)</f>
        <v>0.00955196223786208</v>
      </c>
    </row>
    <row r="11" customFormat="false" ht="12.8" hidden="false" customHeight="false" outlineLevel="0" collapsed="false">
      <c r="A11" s="1" t="n">
        <v>9</v>
      </c>
      <c r="B11" s="3" t="n">
        <v>0.286818359254617</v>
      </c>
      <c r="F11" s="5" t="n">
        <v>9</v>
      </c>
      <c r="G11" s="5" t="n">
        <v>10.24</v>
      </c>
      <c r="H11" s="5" t="n">
        <v>9</v>
      </c>
      <c r="I11" s="1" t="n">
        <v>0.292893390586156</v>
      </c>
      <c r="J11" s="1" t="n">
        <v>0.274599572658353</v>
      </c>
      <c r="K11" s="1" t="n">
        <v>0.292962114519343</v>
      </c>
      <c r="L11" s="1" t="n">
        <f aca="false">AVERAGE(I11:K11)</f>
        <v>0.286818359254617</v>
      </c>
      <c r="M11" s="1" t="n">
        <f aca="false">STDEV(I11:K11)</f>
        <v>0.0105818353870458</v>
      </c>
    </row>
    <row r="12" customFormat="false" ht="12.8" hidden="false" customHeight="false" outlineLevel="0" collapsed="false">
      <c r="A12" s="1" t="n">
        <v>10</v>
      </c>
      <c r="B12" s="3" t="n">
        <v>0.288837445811847</v>
      </c>
      <c r="F12" s="5" t="n">
        <v>10</v>
      </c>
      <c r="G12" s="5" t="n">
        <v>10.23</v>
      </c>
      <c r="H12" s="6" t="n">
        <v>10</v>
      </c>
      <c r="I12" s="1" t="n">
        <v>0.298440613892713</v>
      </c>
      <c r="J12" s="1" t="n">
        <v>0.275839377067368</v>
      </c>
      <c r="K12" s="1" t="n">
        <v>0.292232346475459</v>
      </c>
      <c r="L12" s="1" t="n">
        <f aca="false">AVERAGE(I12:K12)</f>
        <v>0.288837445811847</v>
      </c>
      <c r="M12" s="1" t="n">
        <f aca="false">STDEV(I12:K12)</f>
        <v>0.0116768141800612</v>
      </c>
    </row>
    <row r="13" customFormat="false" ht="12.8" hidden="false" customHeight="false" outlineLevel="0" collapsed="false">
      <c r="A13" s="1" t="n">
        <v>15</v>
      </c>
      <c r="B13" s="3" t="n">
        <v>0.295747745156452</v>
      </c>
      <c r="F13" s="5" t="n">
        <v>30</v>
      </c>
      <c r="G13" s="5" t="n">
        <v>10.12</v>
      </c>
      <c r="H13" s="6" t="n">
        <v>15</v>
      </c>
      <c r="I13" s="1" t="n">
        <v>0.304604195344441</v>
      </c>
      <c r="J13" s="1" t="n">
        <v>0.286626569145111</v>
      </c>
      <c r="K13" s="1" t="n">
        <v>0.296012470979804</v>
      </c>
      <c r="L13" s="1" t="n">
        <f aca="false">AVERAGE(I13:K13)</f>
        <v>0.295747745156452</v>
      </c>
      <c r="M13" s="1" t="n">
        <f aca="false">STDEV(I13:K13)</f>
        <v>0.0089917362484601</v>
      </c>
    </row>
    <row r="14" customFormat="false" ht="12.8" hidden="false" customHeight="false" outlineLevel="0" collapsed="false">
      <c r="A14" s="1" t="n">
        <v>20</v>
      </c>
      <c r="B14" s="3" t="n">
        <v>0.297491935980934</v>
      </c>
      <c r="F14" s="5" t="n">
        <v>70</v>
      </c>
      <c r="G14" s="5" t="n">
        <v>10.13</v>
      </c>
      <c r="H14" s="5" t="n">
        <v>20</v>
      </c>
      <c r="I14" s="1" t="n">
        <v>0.30121422554599</v>
      </c>
      <c r="J14" s="1" t="n">
        <v>0.293841965771578</v>
      </c>
      <c r="K14" s="1" t="n">
        <v>0.297419616625234</v>
      </c>
      <c r="L14" s="1" t="n">
        <f aca="false">AVERAGE(I14:K14)</f>
        <v>0.297491935980934</v>
      </c>
      <c r="M14" s="1" t="n">
        <f aca="false">STDEV(I14:K14)</f>
        <v>0.00368666191998397</v>
      </c>
    </row>
    <row r="15" customFormat="false" ht="12.8" hidden="false" customHeight="false" outlineLevel="0" collapsed="false">
      <c r="A15" s="1" t="n">
        <v>25</v>
      </c>
      <c r="B15" s="3" t="n">
        <v>0.295962443243687</v>
      </c>
      <c r="H15" s="5" t="n">
        <v>25</v>
      </c>
      <c r="I15" s="1" t="n">
        <v>0.299365151110472</v>
      </c>
      <c r="J15" s="1" t="n">
        <v>0.293474924496127</v>
      </c>
      <c r="K15" s="1" t="n">
        <v>0.295047254124463</v>
      </c>
      <c r="L15" s="1" t="n">
        <f aca="false">AVERAGE(I15:K15)</f>
        <v>0.295962443243687</v>
      </c>
      <c r="M15" s="1" t="n">
        <f aca="false">STDEV(I15:K15)</f>
        <v>0.003049896840066</v>
      </c>
    </row>
    <row r="16" customFormat="false" ht="12.8" hidden="false" customHeight="false" outlineLevel="0" collapsed="false">
      <c r="A16" s="1" t="n">
        <v>30</v>
      </c>
      <c r="B16" s="3" t="n">
        <v>0.29989275368274</v>
      </c>
      <c r="H16" s="5" t="n">
        <v>30</v>
      </c>
      <c r="I16" s="1" t="n">
        <v>0.300289688328231</v>
      </c>
      <c r="J16" s="1" t="n">
        <v>0.293753826556818</v>
      </c>
      <c r="K16" s="1" t="n">
        <v>0.305634746163171</v>
      </c>
      <c r="L16" s="1" t="n">
        <f aca="false">AVERAGE(I16:K16)</f>
        <v>0.29989275368274</v>
      </c>
      <c r="M16" s="1" t="n">
        <f aca="false">STDEV(I16:K16)</f>
        <v>0.0059503975083812</v>
      </c>
    </row>
    <row r="17" customFormat="false" ht="12.8" hidden="false" customHeight="false" outlineLevel="0" collapsed="false">
      <c r="A17" s="1" t="n">
        <v>35</v>
      </c>
      <c r="B17" s="3" t="n">
        <v>0.299199556222135</v>
      </c>
      <c r="H17" s="5" t="n">
        <v>35</v>
      </c>
      <c r="I17" s="1" t="n">
        <v>0.305836911634787</v>
      </c>
      <c r="J17" s="1" t="n">
        <v>0.29582972078976</v>
      </c>
      <c r="K17" s="1" t="n">
        <v>0.295932036241859</v>
      </c>
      <c r="L17" s="1" t="n">
        <f aca="false">AVERAGE(I17:K17)</f>
        <v>0.299199556222135</v>
      </c>
      <c r="M17" s="1" t="n">
        <f aca="false">STDEV(I17:K17)</f>
        <v>0.00574834604632731</v>
      </c>
    </row>
    <row r="18" customFormat="false" ht="12.8" hidden="false" customHeight="false" outlineLevel="0" collapsed="false">
      <c r="A18" s="1" t="n">
        <v>50</v>
      </c>
      <c r="B18" s="3" t="n">
        <v>0.295746923345592</v>
      </c>
      <c r="H18" s="5" t="n">
        <v>50</v>
      </c>
      <c r="I18" s="1" t="n">
        <v>0.295358823166848</v>
      </c>
      <c r="J18" s="1" t="n">
        <v>0.291521685534074</v>
      </c>
      <c r="K18" s="1" t="n">
        <v>0.300360261335853</v>
      </c>
      <c r="L18" s="1" t="n">
        <f aca="false">AVERAGE(I18:K18)</f>
        <v>0.295746923345592</v>
      </c>
      <c r="M18" s="1" t="n">
        <f aca="false">STDEV(I18:K18)</f>
        <v>0.0044320505257165</v>
      </c>
    </row>
    <row r="19" customFormat="false" ht="12.8" hidden="false" customHeight="false" outlineLevel="0" collapsed="false">
      <c r="A19" s="1" t="n">
        <v>70</v>
      </c>
      <c r="B19" s="3" t="n">
        <v>0.301068970476445</v>
      </c>
      <c r="H19" s="5" t="n">
        <v>70</v>
      </c>
      <c r="I19" s="1" t="n">
        <v>0.305220553489614</v>
      </c>
      <c r="J19" s="1" t="n">
        <v>0.29917192283196</v>
      </c>
      <c r="K19" s="1" t="n">
        <v>0.29881443510776</v>
      </c>
      <c r="L19" s="1" t="n">
        <f aca="false">AVERAGE(I19:K19)</f>
        <v>0.301068970476445</v>
      </c>
      <c r="M19" s="1" t="n">
        <f aca="false">STDEV(I19:K19)</f>
        <v>0.00359981673209424</v>
      </c>
    </row>
    <row r="20" customFormat="false" ht="12.8" hidden="false" customHeight="false" outlineLevel="0" collapsed="false"/>
    <row r="21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8671875" defaultRowHeight="12.75" zeroHeight="false" outlineLevelRow="0" outlineLevelCol="0"/>
  <cols>
    <col collapsed="false" customWidth="true" hidden="false" outlineLevel="0" max="13" min="3" style="0" width="6.67"/>
    <col collapsed="false" customWidth="true" hidden="false" outlineLevel="0" max="14" min="14" style="0" width="4.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/>
      <c r="Q1" s="2"/>
    </row>
    <row r="2" customFormat="false" ht="12.8" hidden="false" customHeight="false" outlineLevel="0" collapsed="false">
      <c r="A2" s="4" t="n">
        <v>0</v>
      </c>
      <c r="B2" s="1" t="n">
        <v>0</v>
      </c>
      <c r="C2" s="1" t="n">
        <v>226.1667</v>
      </c>
      <c r="D2" s="1" t="n">
        <v>48.1667</v>
      </c>
      <c r="E2" s="1" t="n">
        <v>65</v>
      </c>
      <c r="F2" s="4" t="n">
        <v>0</v>
      </c>
      <c r="G2" s="7" t="n">
        <v>11.4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f aca="false">AVERAGE(J2:K2)</f>
        <v>0</v>
      </c>
      <c r="M2" s="1" t="n">
        <f aca="false">STDEV(J2:K2)</f>
        <v>0</v>
      </c>
      <c r="O2" s="2" t="s">
        <v>15</v>
      </c>
      <c r="P2" s="2"/>
      <c r="Q2" s="2"/>
    </row>
    <row r="3" customFormat="false" ht="12.8" hidden="false" customHeight="false" outlineLevel="0" collapsed="false">
      <c r="A3" s="7" t="n">
        <f aca="false">1/3*60</f>
        <v>20</v>
      </c>
      <c r="B3" s="1" t="n">
        <v>135.475520309001</v>
      </c>
      <c r="F3" s="7" t="n">
        <f aca="false">1/3*60</f>
        <v>20</v>
      </c>
      <c r="G3" s="7" t="n">
        <v>9.27</v>
      </c>
      <c r="H3" s="1" t="n">
        <v>20</v>
      </c>
      <c r="J3" s="1" t="n">
        <v>135.475520309001</v>
      </c>
      <c r="L3" s="1" t="n">
        <f aca="false">AVERAGE(J3:K3)</f>
        <v>135.475520309001</v>
      </c>
      <c r="M3" s="1" t="n">
        <v>0</v>
      </c>
    </row>
    <row r="4" customFormat="false" ht="12.8" hidden="false" customHeight="false" outlineLevel="0" collapsed="false">
      <c r="A4" s="7" t="n">
        <f aca="false">2/3*60</f>
        <v>40</v>
      </c>
      <c r="B4" s="1" t="n">
        <v>134.859162163828</v>
      </c>
      <c r="F4" s="7" t="n">
        <f aca="false">2/3*60</f>
        <v>40</v>
      </c>
      <c r="G4" s="7" t="n">
        <v>9.3</v>
      </c>
      <c r="H4" s="1" t="n">
        <v>40</v>
      </c>
      <c r="J4" s="1" t="n">
        <v>134.859162163828</v>
      </c>
      <c r="L4" s="1" t="n">
        <f aca="false">AVERAGE(J4:K4)</f>
        <v>134.859162163828</v>
      </c>
      <c r="M4" s="1" t="n">
        <v>0</v>
      </c>
    </row>
    <row r="5" customFormat="false" ht="12.8" hidden="false" customHeight="false" outlineLevel="0" collapsed="false">
      <c r="A5" s="4" t="n">
        <v>60</v>
      </c>
      <c r="B5" s="1" t="n">
        <v>138.214889843102</v>
      </c>
      <c r="F5" s="4" t="n">
        <v>60</v>
      </c>
      <c r="G5" s="7" t="n">
        <v>9.3</v>
      </c>
      <c r="H5" s="1" t="n">
        <v>60</v>
      </c>
      <c r="I5" s="1" t="n">
        <v>136.913689314404</v>
      </c>
      <c r="J5" s="1" t="n">
        <v>140.817290900499</v>
      </c>
      <c r="K5" s="1" t="n">
        <v>136.913689314404</v>
      </c>
      <c r="L5" s="1" t="n">
        <f aca="false">AVERAGE(J5:K5)</f>
        <v>138.865490107451</v>
      </c>
      <c r="M5" s="1" t="n">
        <f aca="false">STDEV(J5:K5)</f>
        <v>2.76026315257833</v>
      </c>
    </row>
    <row r="6" customFormat="false" ht="12.8" hidden="false" customHeight="false" outlineLevel="0" collapsed="false">
      <c r="A6" s="4" t="n">
        <f aca="false">2*60</f>
        <v>120</v>
      </c>
      <c r="B6" s="1" t="n">
        <v>141.159712092262</v>
      </c>
      <c r="F6" s="4" t="n">
        <f aca="false">2*60</f>
        <v>120</v>
      </c>
      <c r="G6" s="7" t="n">
        <v>9.28</v>
      </c>
      <c r="H6" s="1" t="n">
        <v>120</v>
      </c>
      <c r="I6" s="1" t="n">
        <v>139.173669180038</v>
      </c>
      <c r="J6" s="1" t="n">
        <v>145.131797916709</v>
      </c>
      <c r="K6" s="1" t="n">
        <v>139.173669180038</v>
      </c>
      <c r="L6" s="1" t="n">
        <f aca="false">AVERAGE(J6:K6)</f>
        <v>142.152733548373</v>
      </c>
      <c r="M6" s="1" t="n">
        <f aca="false">STDEV(J6:K6)</f>
        <v>4.2130332328825</v>
      </c>
    </row>
    <row r="7" customFormat="false" ht="12.8" hidden="false" customHeight="false" outlineLevel="0" collapsed="false">
      <c r="A7" s="4" t="n">
        <f aca="false">3*60</f>
        <v>180</v>
      </c>
      <c r="B7" s="1" t="n">
        <v>142.323944144255</v>
      </c>
      <c r="F7" s="4" t="n">
        <f aca="false">3*60</f>
        <v>180</v>
      </c>
      <c r="G7" s="7" t="n">
        <v>9.27</v>
      </c>
      <c r="H7" s="1" t="n">
        <v>180</v>
      </c>
      <c r="I7" s="1" t="n">
        <v>141.022743615557</v>
      </c>
      <c r="J7" s="1" t="n">
        <v>144.926345201652</v>
      </c>
      <c r="K7" s="1" t="n">
        <v>141.022743615557</v>
      </c>
      <c r="L7" s="1" t="n">
        <f aca="false">AVERAGE(J7:K7)</f>
        <v>142.974544408605</v>
      </c>
      <c r="M7" s="1" t="n">
        <f aca="false">STDEV(J7:K7)</f>
        <v>2.76026315257833</v>
      </c>
    </row>
    <row r="8" customFormat="false" ht="12.8" hidden="false" customHeight="false" outlineLevel="0" collapsed="false">
      <c r="A8" s="4" t="n">
        <f aca="false">4*60</f>
        <v>240</v>
      </c>
      <c r="B8" s="1" t="n">
        <v>151.089926653381</v>
      </c>
      <c r="F8" s="4" t="n">
        <f aca="false">4*60</f>
        <v>240</v>
      </c>
      <c r="G8" s="7" t="n">
        <v>9.31</v>
      </c>
      <c r="H8" s="1" t="n">
        <v>240</v>
      </c>
      <c r="I8" s="1" t="n">
        <v>149.240852217862</v>
      </c>
      <c r="J8" s="1" t="n">
        <v>154.788075524418</v>
      </c>
      <c r="K8" s="1" t="n">
        <v>149.240852217862</v>
      </c>
      <c r="L8" s="1" t="n">
        <f aca="false">AVERAGE(J8:K8)</f>
        <v>152.01446387114</v>
      </c>
      <c r="M8" s="1" t="n">
        <f aca="false">STDEV(J8:K8)</f>
        <v>3.9224792168218</v>
      </c>
    </row>
    <row r="9" customFormat="false" ht="12.8" hidden="false" customHeight="false" outlineLevel="0" collapsed="false">
      <c r="A9" s="4" t="n">
        <f aca="false">5*60</f>
        <v>300</v>
      </c>
      <c r="B9" s="1" t="n">
        <v>149.309336456215</v>
      </c>
      <c r="F9" s="4" t="n">
        <f aca="false">5*60</f>
        <v>300</v>
      </c>
      <c r="G9" s="7" t="n">
        <v>9.29</v>
      </c>
      <c r="H9" s="1" t="n">
        <v>300</v>
      </c>
      <c r="I9" s="1" t="n">
        <v>146.159061491998</v>
      </c>
      <c r="J9" s="1" t="n">
        <v>155.609886384649</v>
      </c>
      <c r="K9" s="1" t="n">
        <v>146.159061491998</v>
      </c>
      <c r="L9" s="1" t="n">
        <f aca="false">AVERAGE(J9:K9)</f>
        <v>150.884473938323</v>
      </c>
      <c r="M9" s="1" t="n">
        <f aca="false">STDEV(J9:K9)</f>
        <v>6.68274236940016</v>
      </c>
    </row>
    <row r="10" customFormat="false" ht="12.8" hidden="false" customHeight="false" outlineLevel="0" collapsed="false">
      <c r="A10" s="4" t="n">
        <f aca="false">23*60</f>
        <v>1380</v>
      </c>
      <c r="B10" s="1" t="n">
        <v>200.535546743917</v>
      </c>
      <c r="F10" s="4" t="n">
        <f aca="false">23*60</f>
        <v>1380</v>
      </c>
      <c r="G10" s="7" t="n">
        <v>9.3</v>
      </c>
      <c r="H10" s="1" t="n">
        <v>1380</v>
      </c>
      <c r="I10" s="1" t="n">
        <v>196.494976681117</v>
      </c>
      <c r="J10" s="1" t="n">
        <v>208.616686869517</v>
      </c>
      <c r="K10" s="1" t="n">
        <v>196.494976681117</v>
      </c>
      <c r="L10" s="1" t="n">
        <f aca="false">AVERAGE(J10:K10)</f>
        <v>202.555831775317</v>
      </c>
      <c r="M10" s="1" t="n">
        <f aca="false">STDEV(J10:K10)</f>
        <v>8.57134347379569</v>
      </c>
    </row>
    <row r="11" customFormat="false" ht="12.8" hidden="false" customHeight="false" outlineLevel="0" collapsed="false">
      <c r="A11" s="4" t="n">
        <f aca="false">25*60</f>
        <v>1500</v>
      </c>
      <c r="B11" s="1" t="n">
        <v>200.398578267212</v>
      </c>
      <c r="F11" s="4" t="n">
        <f aca="false">25*60</f>
        <v>1500</v>
      </c>
      <c r="G11" s="4" t="n">
        <v>9.34</v>
      </c>
      <c r="H11" s="1" t="n">
        <v>1500</v>
      </c>
      <c r="I11" s="1" t="n">
        <v>200.398578267212</v>
      </c>
      <c r="J11" s="1" t="n">
        <v>200.398578267212</v>
      </c>
      <c r="K11" s="1" t="n">
        <v>200.398578267212</v>
      </c>
      <c r="L11" s="1" t="n">
        <f aca="false">AVERAGE(J11:K11)</f>
        <v>200.398578267212</v>
      </c>
      <c r="M11" s="1" t="n">
        <f aca="false">STDEV(J11:K11)</f>
        <v>0</v>
      </c>
    </row>
    <row r="12" customFormat="false" ht="12.8" hidden="false" customHeight="false" outlineLevel="0" collapsed="false">
      <c r="A12" s="4" t="n">
        <f aca="false">28*60</f>
        <v>1680</v>
      </c>
      <c r="B12" s="1" t="n">
        <v>217.5881220937</v>
      </c>
      <c r="F12" s="4" t="n">
        <f aca="false">28*60</f>
        <v>1680</v>
      </c>
      <c r="G12" s="4" t="n">
        <v>9.3</v>
      </c>
      <c r="H12" s="1" t="n">
        <v>1680</v>
      </c>
      <c r="I12" s="1" t="n">
        <v>215.191173751361</v>
      </c>
      <c r="J12" s="1" t="n">
        <v>222.382018778378</v>
      </c>
      <c r="K12" s="1" t="n">
        <v>215.191173751361</v>
      </c>
      <c r="L12" s="1" t="n">
        <f aca="false">AVERAGE(J12:K12)</f>
        <v>218.786596264869</v>
      </c>
      <c r="M12" s="1" t="n">
        <f aca="false">STDEV(J12:K12)</f>
        <v>5.0846952810653</v>
      </c>
    </row>
    <row r="13" customFormat="false" ht="12.8" hidden="false" customHeight="false" outlineLevel="0" collapsed="false">
      <c r="A13" s="4" t="n">
        <f aca="false">47*60</f>
        <v>2820</v>
      </c>
      <c r="B13" s="1" t="n">
        <v>230.737095857388</v>
      </c>
      <c r="F13" s="4" t="n">
        <f aca="false">47*60</f>
        <v>2820</v>
      </c>
      <c r="G13" s="4" t="n">
        <v>9.65</v>
      </c>
      <c r="H13" s="1" t="n">
        <v>2820</v>
      </c>
      <c r="I13" s="1" t="n">
        <v>235.120087111951</v>
      </c>
      <c r="J13" s="1" t="n">
        <v>221.971113348263</v>
      </c>
      <c r="K13" s="1" t="n">
        <v>235.120087111951</v>
      </c>
      <c r="L13" s="1" t="n">
        <f aca="false">AVERAGE(J13:K13)</f>
        <v>228.545600230107</v>
      </c>
      <c r="M13" s="1" t="n">
        <f aca="false">STDEV(J13:K13)</f>
        <v>9.29772851394778</v>
      </c>
    </row>
    <row r="14" customFormat="false" ht="12.8" hidden="false" customHeight="false" outlineLevel="0" collapsed="false">
      <c r="A14" s="4" t="n">
        <f aca="false">49*60</f>
        <v>2940</v>
      </c>
      <c r="B14" s="1" t="n">
        <v>226.628041556236</v>
      </c>
      <c r="F14" s="4" t="n">
        <f aca="false">49*60</f>
        <v>2940</v>
      </c>
      <c r="G14" s="4" t="n">
        <v>9.63</v>
      </c>
      <c r="H14" s="1" t="n">
        <v>2940</v>
      </c>
      <c r="I14" s="1" t="n">
        <v>233.887370821605</v>
      </c>
      <c r="J14" s="1" t="n">
        <v>212.109383025497</v>
      </c>
      <c r="K14" s="1" t="n">
        <v>233.887370821605</v>
      </c>
      <c r="L14" s="1" t="n">
        <f aca="false">AVERAGE(J14:K14)</f>
        <v>222.998376923551</v>
      </c>
      <c r="M14" s="1" t="n">
        <f aca="false">STDEV(J14:K14)</f>
        <v>15.3993628512258</v>
      </c>
    </row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7421875" defaultRowHeight="12.8" zeroHeight="false" outlineLevelRow="0" outlineLevelCol="0"/>
  <cols>
    <col collapsed="false" customWidth="true" hidden="false" outlineLevel="0" max="1" min="1" style="0" width="6.67"/>
    <col collapsed="false" customWidth="true" hidden="false" outlineLevel="0" max="2" min="2" style="0" width="8.47"/>
    <col collapsed="false" customWidth="true" hidden="false" outlineLevel="0" max="3" min="3" style="0" width="5.42"/>
    <col collapsed="false" customWidth="true" hidden="false" outlineLevel="0" max="4" min="4" style="0" width="7.64"/>
    <col collapsed="false" customWidth="true" hidden="false" outlineLevel="0" max="5" min="5" style="0" width="5.96"/>
    <col collapsed="false" customWidth="true" hidden="false" outlineLevel="0" max="6" min="6" style="0" width="6.71"/>
    <col collapsed="false" customWidth="true" hidden="false" outlineLevel="0" max="7" min="7" style="0" width="3.79"/>
    <col collapsed="false" customWidth="true" hidden="false" outlineLevel="0" max="14" min="8" style="0" width="2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/>
      <c r="Q1" s="2"/>
    </row>
    <row r="2" customFormat="false" ht="12.8" hidden="false" customHeight="false" outlineLevel="0" collapsed="false">
      <c r="A2" s="4" t="n">
        <v>0</v>
      </c>
      <c r="B2" s="1" t="n">
        <v>0</v>
      </c>
      <c r="C2" s="1" t="n">
        <v>226.1667</v>
      </c>
      <c r="D2" s="1" t="n">
        <v>48.1667</v>
      </c>
      <c r="E2" s="1" t="n">
        <v>65</v>
      </c>
      <c r="O2" s="2" t="s">
        <v>16</v>
      </c>
      <c r="P2" s="2"/>
      <c r="Q2" s="2"/>
    </row>
    <row r="3" customFormat="false" ht="12.8" hidden="false" customHeight="false" outlineLevel="0" collapsed="false">
      <c r="A3" s="1" t="n">
        <v>60</v>
      </c>
      <c r="B3" s="1" t="n">
        <v>136.091878454174</v>
      </c>
    </row>
    <row r="4" customFormat="false" ht="12.8" hidden="false" customHeight="false" outlineLevel="0" collapsed="false">
      <c r="A4" s="1" t="n">
        <v>120</v>
      </c>
      <c r="B4" s="1" t="n">
        <v>134.448256733713</v>
      </c>
    </row>
    <row r="5" customFormat="false" ht="12.8" hidden="false" customHeight="false" outlineLevel="0" collapsed="false">
      <c r="A5" s="1" t="n">
        <v>180</v>
      </c>
      <c r="B5" s="1" t="n">
        <v>136.502783884289</v>
      </c>
    </row>
    <row r="6" customFormat="false" ht="12.8" hidden="false" customHeight="false" outlineLevel="0" collapsed="false">
      <c r="A6" s="1" t="n">
        <v>240</v>
      </c>
      <c r="B6" s="1" t="n">
        <v>134.448256733713</v>
      </c>
    </row>
    <row r="7" customFormat="false" ht="12.8" hidden="false" customHeight="false" outlineLevel="0" collapsed="false">
      <c r="A7" s="1" t="n">
        <v>300</v>
      </c>
      <c r="B7" s="1" t="n">
        <v>143.693628911306</v>
      </c>
    </row>
    <row r="8" customFormat="false" ht="12.8" hidden="false" customHeight="false" outlineLevel="0" collapsed="false">
      <c r="A8" s="1" t="n">
        <v>1380</v>
      </c>
      <c r="B8" s="1" t="n">
        <v>158.691677110513</v>
      </c>
    </row>
    <row r="9" customFormat="false" ht="12.8" hidden="false" customHeight="false" outlineLevel="0" collapsed="false">
      <c r="A9" s="1" t="n">
        <v>1500</v>
      </c>
      <c r="B9" s="1" t="n">
        <v>158.897129825571</v>
      </c>
    </row>
    <row r="10" customFormat="false" ht="12.8" hidden="false" customHeight="false" outlineLevel="0" collapsed="false">
      <c r="A10" s="1" t="n">
        <v>1680</v>
      </c>
      <c r="B10" s="1" t="n">
        <v>161.773467836377</v>
      </c>
    </row>
    <row r="11" customFormat="false" ht="12.8" hidden="false" customHeight="false" outlineLevel="0" collapsed="false">
      <c r="A11" s="1" t="n">
        <v>2820</v>
      </c>
      <c r="B11" s="1" t="n">
        <v>176.360610605469</v>
      </c>
    </row>
    <row r="12" customFormat="false" ht="12.8" hidden="false" customHeight="false" outlineLevel="0" collapsed="false">
      <c r="A12" s="1" t="n">
        <v>2940</v>
      </c>
      <c r="B12" s="1" t="n">
        <v>187.044151788466</v>
      </c>
    </row>
    <row r="13" customFormat="false" ht="12.8" hidden="false" customHeight="false" outlineLevel="0" collapsed="false">
      <c r="A13" s="1" t="n">
        <f aca="false">120*60</f>
        <v>7200</v>
      </c>
      <c r="B13" s="1" t="n">
        <v>212.726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2" t="s">
        <v>13</v>
      </c>
      <c r="P1" s="2"/>
    </row>
    <row r="2" customFormat="false" ht="12.8" hidden="false" customHeight="false" outlineLevel="0" collapsed="false">
      <c r="A2" s="4" t="n">
        <f aca="false">H2</f>
        <v>0</v>
      </c>
      <c r="B2" s="1" t="n">
        <f aca="false">L2</f>
        <v>0</v>
      </c>
      <c r="C2" s="1" t="n">
        <v>144.8</v>
      </c>
      <c r="D2" s="1" t="n">
        <f aca="false">19.15/0.6</f>
        <v>31.9166666666667</v>
      </c>
      <c r="E2" s="1" t="n">
        <v>65</v>
      </c>
      <c r="F2" s="4" t="n">
        <v>5.5</v>
      </c>
      <c r="G2" s="7" t="n">
        <v>9.47</v>
      </c>
      <c r="H2" s="1" t="n">
        <v>0</v>
      </c>
      <c r="I2" s="0" t="n">
        <v>0</v>
      </c>
      <c r="J2" s="0" t="n">
        <v>0</v>
      </c>
      <c r="K2" s="1"/>
      <c r="L2" s="1" t="n">
        <f aca="false">AVERAGE(I2:K2)</f>
        <v>0</v>
      </c>
      <c r="M2" s="1" t="n">
        <f aca="false">STDEV(I2:K2)</f>
        <v>0</v>
      </c>
      <c r="O2" s="2" t="s">
        <v>16</v>
      </c>
      <c r="P2" s="2"/>
    </row>
    <row r="3" customFormat="false" ht="12.8" hidden="false" customHeight="false" outlineLevel="0" collapsed="false">
      <c r="A3" s="4" t="n">
        <f aca="false">H3</f>
        <v>2</v>
      </c>
      <c r="B3" s="1" t="n">
        <f aca="false">L3</f>
        <v>85.6584707278157</v>
      </c>
      <c r="F3" s="7" t="n">
        <v>11.6666666666667</v>
      </c>
      <c r="G3" s="7" t="n">
        <v>9.64</v>
      </c>
      <c r="H3" s="1" t="n">
        <v>2</v>
      </c>
      <c r="I3" s="0" t="n">
        <v>85.6073313423066</v>
      </c>
      <c r="J3" s="0" t="n">
        <v>85.7096101133249</v>
      </c>
      <c r="L3" s="1" t="n">
        <f aca="false">AVERAGE(I3:K3)</f>
        <v>85.6584707278157</v>
      </c>
      <c r="M3" s="1" t="n">
        <f aca="false">STDEV(I3:K3)</f>
        <v>0.0723220125584497</v>
      </c>
    </row>
    <row r="4" customFormat="false" ht="12.8" hidden="false" customHeight="false" outlineLevel="0" collapsed="false">
      <c r="A4" s="4" t="n">
        <f aca="false">H4</f>
        <v>4</v>
      </c>
      <c r="B4" s="1" t="n">
        <f aca="false">L4</f>
        <v>90.9258274352575</v>
      </c>
      <c r="F4" s="7" t="n">
        <v>17</v>
      </c>
      <c r="G4" s="7" t="n">
        <v>9.7</v>
      </c>
      <c r="H4" s="1" t="n">
        <v>4</v>
      </c>
      <c r="I4" s="0" t="n">
        <v>90.3121548091478</v>
      </c>
      <c r="J4" s="0" t="n">
        <v>91.5395000613673</v>
      </c>
      <c r="L4" s="1" t="n">
        <f aca="false">AVERAGE(I4:K4)</f>
        <v>90.9258274352575</v>
      </c>
      <c r="M4" s="1" t="n">
        <f aca="false">STDEV(I4:K4)</f>
        <v>0.867864150701487</v>
      </c>
    </row>
    <row r="5" customFormat="false" ht="12.8" hidden="false" customHeight="false" outlineLevel="0" collapsed="false">
      <c r="A5" s="4" t="n">
        <f aca="false">H5</f>
        <v>6</v>
      </c>
      <c r="B5" s="1" t="n">
        <f aca="false">L5</f>
        <v>88.1643006177638</v>
      </c>
      <c r="F5" s="4" t="n">
        <v>23.8333333333333</v>
      </c>
      <c r="G5" s="7" t="n">
        <v>9.7</v>
      </c>
      <c r="H5" s="1" t="n">
        <v>6</v>
      </c>
      <c r="I5" s="0" t="n">
        <v>88.3688581598003</v>
      </c>
      <c r="J5" s="0" t="n">
        <v>87.9597430757272</v>
      </c>
      <c r="K5" s="1"/>
      <c r="L5" s="1" t="n">
        <f aca="false">AVERAGE(I5:K5)</f>
        <v>88.1643006177638</v>
      </c>
      <c r="M5" s="1" t="n">
        <f aca="false">STDEV(I5:K5)</f>
        <v>0.289288050233829</v>
      </c>
    </row>
    <row r="6" customFormat="false" ht="12.8" hidden="false" customHeight="false" outlineLevel="0" collapsed="false">
      <c r="A6" s="4" t="n">
        <f aca="false">H6</f>
        <v>8</v>
      </c>
      <c r="B6" s="1" t="n">
        <f aca="false">L6</f>
        <v>87.2949310641083</v>
      </c>
      <c r="F6" s="4" t="n">
        <v>48</v>
      </c>
      <c r="G6" s="7" t="n">
        <v>9.75</v>
      </c>
      <c r="H6" s="1" t="n">
        <v>8</v>
      </c>
      <c r="I6" s="0" t="n">
        <v>86.8346765945261</v>
      </c>
      <c r="J6" s="0" t="n">
        <v>87.7551855336906</v>
      </c>
      <c r="K6" s="1"/>
      <c r="L6" s="1" t="n">
        <f aca="false">AVERAGE(I6:K6)</f>
        <v>87.2949310641083</v>
      </c>
      <c r="M6" s="1" t="n">
        <f aca="false">STDEV(I6:K6)</f>
        <v>0.650898113026108</v>
      </c>
    </row>
    <row r="7" customFormat="false" ht="12.8" hidden="false" customHeight="false" outlineLevel="0" collapsed="false">
      <c r="A7" s="4" t="n">
        <f aca="false">H7</f>
        <v>10</v>
      </c>
      <c r="B7" s="1" t="n">
        <f aca="false">L7</f>
        <v>87.6529067626723</v>
      </c>
      <c r="F7" s="4" t="n">
        <v>120</v>
      </c>
      <c r="G7" s="7" t="n">
        <v>9.76</v>
      </c>
      <c r="H7" s="1" t="n">
        <v>10</v>
      </c>
      <c r="I7" s="0" t="n">
        <v>86.3232827394346</v>
      </c>
      <c r="J7" s="0" t="n">
        <v>88.9825307859101</v>
      </c>
      <c r="K7" s="1"/>
      <c r="L7" s="1" t="n">
        <f aca="false">AVERAGE(I7:K7)</f>
        <v>87.6529067626723</v>
      </c>
      <c r="M7" s="1" t="n">
        <f aca="false">STDEV(I7:K7)</f>
        <v>1.88037232651988</v>
      </c>
    </row>
    <row r="8" customFormat="false" ht="12.8" hidden="false" customHeight="false" outlineLevel="0" collapsed="false">
      <c r="A8" s="4" t="n">
        <f aca="false">H8</f>
        <v>15</v>
      </c>
      <c r="B8" s="1" t="n">
        <f aca="false">L8</f>
        <v>89.8519003395655</v>
      </c>
      <c r="F8" s="4" t="n">
        <v>220</v>
      </c>
      <c r="G8" s="7" t="n">
        <v>9.84</v>
      </c>
      <c r="H8" s="1" t="n">
        <v>15</v>
      </c>
      <c r="I8" s="0" t="n">
        <v>90.2098760381295</v>
      </c>
      <c r="J8" s="0" t="n">
        <v>89.4939246410015</v>
      </c>
      <c r="K8" s="1"/>
      <c r="L8" s="1" t="n">
        <f aca="false">AVERAGE(I8:K8)</f>
        <v>89.8519003395655</v>
      </c>
      <c r="M8" s="1" t="n">
        <f aca="false">STDEV(I8:K8)</f>
        <v>0.506254087909198</v>
      </c>
    </row>
    <row r="9" customFormat="false" ht="12.8" hidden="false" customHeight="false" outlineLevel="0" collapsed="false">
      <c r="A9" s="4" t="n">
        <f aca="false">H9</f>
        <v>20</v>
      </c>
      <c r="B9" s="1" t="n">
        <f aca="false">L9</f>
        <v>87.9597430757272</v>
      </c>
      <c r="F9" s="4" t="n">
        <v>360</v>
      </c>
      <c r="G9" s="7" t="n">
        <v>9.82</v>
      </c>
      <c r="H9" s="1" t="n">
        <v>20</v>
      </c>
      <c r="I9" s="0" t="n">
        <v>86.9369553655443</v>
      </c>
      <c r="J9" s="0" t="n">
        <v>88.9825307859101</v>
      </c>
      <c r="K9" s="1"/>
      <c r="L9" s="1" t="n">
        <f aca="false">AVERAGE(I9:K9)</f>
        <v>87.9597430757272</v>
      </c>
      <c r="M9" s="1" t="n">
        <f aca="false">STDEV(I9:K9)</f>
        <v>1.44644025116914</v>
      </c>
    </row>
    <row r="10" customFormat="false" ht="12.8" hidden="false" customHeight="false" outlineLevel="0" collapsed="false">
      <c r="A10" s="4" t="n">
        <f aca="false">H10</f>
        <v>40</v>
      </c>
      <c r="B10" s="1" t="n">
        <f aca="false">L10</f>
        <v>93.4316573252056</v>
      </c>
      <c r="F10" s="4" t="n">
        <v>480</v>
      </c>
      <c r="G10" s="7" t="n">
        <v>9.84</v>
      </c>
      <c r="H10" s="1" t="n">
        <v>40</v>
      </c>
      <c r="I10" s="0" t="n">
        <v>93.585075481733</v>
      </c>
      <c r="J10" s="0" t="n">
        <v>93.2782391686782</v>
      </c>
      <c r="K10" s="1"/>
      <c r="L10" s="1" t="n">
        <f aca="false">AVERAGE(I10:K10)</f>
        <v>93.4316573252056</v>
      </c>
      <c r="M10" s="1" t="n">
        <f aca="false">STDEV(I10:K10)</f>
        <v>0.216966037675359</v>
      </c>
    </row>
    <row r="11" customFormat="false" ht="12.8" hidden="false" customHeight="false" outlineLevel="0" collapsed="false">
      <c r="A11" s="4" t="n">
        <f aca="false">H11</f>
        <v>60</v>
      </c>
      <c r="B11" s="1" t="n">
        <f aca="false">L11</f>
        <v>94.1476087223336</v>
      </c>
      <c r="F11" s="4" t="n">
        <v>1375</v>
      </c>
      <c r="G11" s="4" t="n">
        <v>9.85</v>
      </c>
      <c r="H11" s="1" t="n">
        <v>60</v>
      </c>
      <c r="I11" s="0" t="n">
        <v>93.9941905658062</v>
      </c>
      <c r="J11" s="0" t="n">
        <v>94.301026878861</v>
      </c>
      <c r="K11" s="1"/>
      <c r="L11" s="1" t="n">
        <f aca="false">AVERAGE(I11:K11)</f>
        <v>94.1476087223336</v>
      </c>
      <c r="M11" s="1" t="n">
        <f aca="false">STDEV(I11:K11)</f>
        <v>0.216966037675359</v>
      </c>
    </row>
    <row r="12" customFormat="false" ht="12.8" hidden="false" customHeight="false" outlineLevel="0" collapsed="false">
      <c r="A12" s="4" t="n">
        <f aca="false">H12</f>
        <v>120</v>
      </c>
      <c r="B12" s="1" t="n">
        <f aca="false">L12</f>
        <v>95.2726752035347</v>
      </c>
      <c r="F12" s="4" t="n">
        <v>1708</v>
      </c>
      <c r="G12" s="4" t="n">
        <v>9.95</v>
      </c>
      <c r="H12" s="1" t="n">
        <v>120</v>
      </c>
      <c r="I12" s="0" t="n">
        <v>96.4488810702451</v>
      </c>
      <c r="J12" s="0" t="n">
        <v>94.0964693368244</v>
      </c>
      <c r="K12" s="1"/>
      <c r="L12" s="1" t="n">
        <f aca="false">AVERAGE(I12:K12)</f>
        <v>95.2726752035347</v>
      </c>
      <c r="M12" s="1" t="n">
        <f aca="false">STDEV(I12:K12)</f>
        <v>1.66340628884451</v>
      </c>
    </row>
    <row r="13" customFormat="false" ht="12.8" hidden="false" customHeight="false" outlineLevel="0" collapsed="false">
      <c r="A13" s="4" t="n">
        <f aca="false">H13</f>
        <v>240</v>
      </c>
      <c r="B13" s="1" t="n">
        <f aca="false">L13</f>
        <v>95.8863478296445</v>
      </c>
      <c r="F13" s="4"/>
      <c r="G13" s="4"/>
      <c r="H13" s="0" t="n">
        <v>240</v>
      </c>
      <c r="I13" s="0" t="n">
        <v>95.1192570470073</v>
      </c>
      <c r="J13" s="0" t="n">
        <v>96.6534386122816</v>
      </c>
      <c r="K13" s="1"/>
      <c r="L13" s="1" t="n">
        <f aca="false">AVERAGE(I13:K13)</f>
        <v>95.8863478296445</v>
      </c>
      <c r="M13" s="1" t="n">
        <f aca="false">STDEV(I13:K13)</f>
        <v>1.08483018837686</v>
      </c>
    </row>
    <row r="14" customFormat="false" ht="12.8" hidden="false" customHeight="false" outlineLevel="0" collapsed="false">
      <c r="A14" s="4" t="n">
        <f aca="false">H14</f>
        <v>360</v>
      </c>
      <c r="B14" s="1" t="n">
        <f aca="false">L14</f>
        <v>99.619522971812</v>
      </c>
      <c r="F14" s="4"/>
      <c r="G14" s="4"/>
      <c r="H14" s="1" t="n">
        <v>360</v>
      </c>
      <c r="I14" s="0" t="n">
        <v>100.540031910977</v>
      </c>
      <c r="J14" s="0" t="n">
        <v>98.6990140326474</v>
      </c>
      <c r="K14" s="1"/>
      <c r="L14" s="1" t="n">
        <f aca="false">AVERAGE(I14:K14)</f>
        <v>99.619522971812</v>
      </c>
      <c r="M14" s="1" t="n">
        <f aca="false">STDEV(I14:K14)</f>
        <v>1.30179622605223</v>
      </c>
    </row>
    <row r="15" customFormat="false" ht="12.8" hidden="false" customHeight="false" outlineLevel="0" collapsed="false">
      <c r="A15" s="4" t="n">
        <f aca="false">H15</f>
        <v>480</v>
      </c>
      <c r="B15" s="1" t="n">
        <f aca="false">L15</f>
        <v>109.029169905494</v>
      </c>
      <c r="H15" s="0" t="n">
        <v>480</v>
      </c>
      <c r="I15" s="0" t="n">
        <v>108.824612363458</v>
      </c>
      <c r="J15" s="0" t="n">
        <v>109.233727447531</v>
      </c>
      <c r="L15" s="1" t="n">
        <f aca="false">AVERAGE(I15:K15)</f>
        <v>109.029169905494</v>
      </c>
      <c r="M15" s="1" t="n">
        <f aca="false">STDEV(I15:K15)</f>
        <v>0.289288050233819</v>
      </c>
    </row>
    <row r="16" customFormat="false" ht="12.8" hidden="false" customHeight="false" outlineLevel="0" collapsed="false">
      <c r="A16" s="4" t="n">
        <f aca="false">H16</f>
        <v>1385</v>
      </c>
      <c r="B16" s="1" t="n">
        <f aca="false">L16</f>
        <v>139.354825512417</v>
      </c>
      <c r="H16" s="0" t="n">
        <v>1385</v>
      </c>
      <c r="I16" s="0" t="n">
        <v>140.121916295054</v>
      </c>
      <c r="J16" s="0" t="n">
        <v>138.587734729779</v>
      </c>
      <c r="L16" s="1" t="n">
        <f aca="false">AVERAGE(I16:K16)</f>
        <v>139.354825512417</v>
      </c>
      <c r="M16" s="1" t="n">
        <f aca="false">STDEV(I16:K16)</f>
        <v>1.08483018837688</v>
      </c>
    </row>
    <row r="17" customFormat="false" ht="12.8" hidden="false" customHeight="false" outlineLevel="0" collapsed="false">
      <c r="A17" s="4" t="n">
        <f aca="false">H17</f>
        <v>1695</v>
      </c>
      <c r="B17" s="1" t="n">
        <f aca="false">L17</f>
        <v>143.497115738657</v>
      </c>
      <c r="H17" s="0" t="n">
        <v>1695</v>
      </c>
      <c r="I17" s="0" t="n">
        <v>143.701673280694</v>
      </c>
      <c r="J17" s="0" t="n">
        <v>143.292558196621</v>
      </c>
      <c r="L17" s="1" t="n">
        <f aca="false">AVERAGE(I17:K17)</f>
        <v>143.497115738657</v>
      </c>
      <c r="M17" s="1" t="n">
        <f aca="false">STDEV(I17:K17)</f>
        <v>0.289288050233839</v>
      </c>
    </row>
    <row r="18" customFormat="false" ht="12.8" hidden="false" customHeight="false" outlineLevel="0" collapsed="false">
      <c r="A18" s="4" t="n">
        <f aca="false">H18</f>
        <v>1708</v>
      </c>
      <c r="B18" s="1" t="n">
        <f aca="false">L18</f>
        <v>143.497115738657</v>
      </c>
      <c r="H18" s="8" t="n">
        <v>1708</v>
      </c>
      <c r="I18" s="0" t="n">
        <f aca="false">I17</f>
        <v>143.701673280694</v>
      </c>
      <c r="J18" s="0" t="n">
        <f aca="false">J17</f>
        <v>143.292558196621</v>
      </c>
      <c r="L18" s="1" t="n">
        <f aca="false">AVERAGE(I18:K18)</f>
        <v>143.497115738657</v>
      </c>
      <c r="M18" s="1" t="n">
        <f aca="false">STDEV(I18:K18)</f>
        <v>0.289288050233839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77734375" defaultRowHeight="12.8" zeroHeight="false" outlineLevelRow="0" outlineLevelCol="0"/>
  <sheetData>
    <row r="1" customFormat="false" ht="12.8" hidden="false" customHeight="false" outlineLevel="0" collapsed="false">
      <c r="A1" s="1" t="s">
        <v>17</v>
      </c>
      <c r="B1" s="1" t="s">
        <v>18</v>
      </c>
      <c r="C1" s="1" t="s">
        <v>19</v>
      </c>
    </row>
    <row r="2" customFormat="false" ht="12.8" hidden="false" customHeight="false" outlineLevel="0" collapsed="false">
      <c r="A2" s="1" t="n">
        <v>230</v>
      </c>
      <c r="B2" s="1" t="n">
        <v>25</v>
      </c>
      <c r="C2" s="1" t="n">
        <v>0.0674052</v>
      </c>
    </row>
    <row r="3" customFormat="false" ht="12.8" hidden="false" customHeight="false" outlineLevel="0" collapsed="false">
      <c r="A3" s="1" t="n">
        <v>230</v>
      </c>
      <c r="B3" s="1" t="n">
        <v>30</v>
      </c>
      <c r="C3" s="1" t="n">
        <v>0.0476179594594595</v>
      </c>
    </row>
    <row r="4" customFormat="false" ht="12.8" hidden="false" customHeight="false" outlineLevel="0" collapsed="false">
      <c r="A4" s="1" t="n">
        <v>230</v>
      </c>
      <c r="B4" s="1" t="n">
        <v>40</v>
      </c>
      <c r="C4" s="1" t="n">
        <v>0.0234006891891892</v>
      </c>
    </row>
    <row r="5" customFormat="false" ht="12.8" hidden="false" customHeight="false" outlineLevel="0" collapsed="false">
      <c r="A5" s="1" t="n">
        <v>230</v>
      </c>
      <c r="B5" s="1" t="n">
        <v>50</v>
      </c>
      <c r="C5" s="1" t="n">
        <v>0.0129370405405405</v>
      </c>
    </row>
    <row r="6" customFormat="false" ht="12.8" hidden="false" customHeight="false" outlineLevel="0" collapsed="false">
      <c r="A6" s="1" t="n">
        <v>230</v>
      </c>
      <c r="B6" s="1" t="n">
        <v>60</v>
      </c>
      <c r="C6" s="1" t="n">
        <v>0.00812974324324324</v>
      </c>
    </row>
    <row r="7" customFormat="false" ht="12.8" hidden="false" customHeight="false" outlineLevel="0" collapsed="false">
      <c r="A7" s="0" t="n">
        <v>230</v>
      </c>
      <c r="B7" s="0" t="n">
        <v>65</v>
      </c>
      <c r="C7" s="0" t="n">
        <v>0.007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LibreOffice/7.1.6.2.0$Linux_X86_64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en-US</dc:language>
  <cp:lastModifiedBy/>
  <dcterms:modified xsi:type="dcterms:W3CDTF">2021-09-23T15:14:36Z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